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0480" activeTab="1"/>
  </bookViews>
  <sheets>
    <sheet name="正常的概率计算" sheetId="1" r:id="rId1"/>
    <sheet name="温度系数展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<sst xmlns="http://schemas.openxmlformats.org/spreadsheetml/2006/main" count="58" uniqueCount="29">
  <si>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PAD</t>
  </si>
  <si>
    <t>CLS</t>
  </si>
  <si>
    <t>SEP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</si>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</sst>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概率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正常的概率计算!$B$3:$AD$3</c:f>
              <c:strCache>
                <c:ptCount val="29"/>
                <c:pt idx="0">
                  <c:v>PAD</c:v>
                </c:pt>
                <c:pt idx="1">
                  <c:v>CLS</c:v>
                </c:pt>
                <c:pt idx="2">
                  <c:v>SEP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d</c:v>
                </c:pt>
                <c:pt idx="7">
                  <c:v>e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m</c:v>
                </c:pt>
                <c:pt idx="16">
                  <c:v>n</c:v>
                </c:pt>
                <c:pt idx="17">
                  <c:v>o</c:v>
                </c:pt>
                <c:pt idx="18">
                  <c:v>p</c:v>
                </c:pt>
                <c:pt idx="19">
                  <c:v>q</c:v>
                </c:pt>
                <c:pt idx="20">
                  <c:v>r</c:v>
                </c:pt>
                <c:pt idx="21">
                  <c:v>s</c:v>
                </c:pt>
                <c:pt idx="22">
                  <c:v>t</c:v>
                </c:pt>
                <c:pt idx="23">
                  <c:v>u</c:v>
                </c:pt>
                <c:pt idx="24">
                  <c:v>v</c:v>
                </c:pt>
                <c:pt idx="25">
                  <c:v>w</c:v>
                </c:pt>
                <c:pt idx="26">
                  <c:v>x</c:v>
                </c:pt>
                <c:pt idx="27">
                  <c:v>y</c:v>
                </c:pt>
                <c:pt idx="28">
                  <c:v>z</c:v>
                </c:pt>
              </c:strCache>
            </c:strRef>
          </c:cat>
          <c:val>
            <c:numRef>
              <c:f>正常的概率计算!$B$4:$AD$4</c:f>
              <c:numCache>
                <c:formatCode>General</c:formatCode>
                <c:ptCount val="29"/>
                <c:pt idx="0">
                  <c:v>0.0156021986912527</c:v>
                </c:pt>
                <c:pt idx="1">
                  <c:v>0.0156021986912527</c:v>
                </c:pt>
                <c:pt idx="2">
                  <c:v>0.038375216441894</c:v>
                </c:pt>
                <c:pt idx="3">
                  <c:v>0.038375216441894</c:v>
                </c:pt>
                <c:pt idx="4">
                  <c:v>0.171985788099494</c:v>
                </c:pt>
                <c:pt idx="5">
                  <c:v>0.0854056148311921</c:v>
                </c:pt>
                <c:pt idx="6">
                  <c:v>0.0943878017518037</c:v>
                </c:pt>
                <c:pt idx="7">
                  <c:v>0.12741020552241</c:v>
                </c:pt>
                <c:pt idx="8">
                  <c:v>0.0141315776937367</c:v>
                </c:pt>
                <c:pt idx="9">
                  <c:v>0.0141315776937367</c:v>
                </c:pt>
                <c:pt idx="10">
                  <c:v>0.0141315776937367</c:v>
                </c:pt>
                <c:pt idx="11">
                  <c:v>0.0141315776937367</c:v>
                </c:pt>
                <c:pt idx="12">
                  <c:v>0.038375216441894</c:v>
                </c:pt>
                <c:pt idx="13">
                  <c:v>0.038375216441894</c:v>
                </c:pt>
                <c:pt idx="14">
                  <c:v>0.038375216441894</c:v>
                </c:pt>
                <c:pt idx="15">
                  <c:v>0.038375216441894</c:v>
                </c:pt>
                <c:pt idx="16">
                  <c:v>0.0156021986912527</c:v>
                </c:pt>
                <c:pt idx="17">
                  <c:v>0.0156021986912527</c:v>
                </c:pt>
                <c:pt idx="18">
                  <c:v>0.0156021986912527</c:v>
                </c:pt>
                <c:pt idx="19">
                  <c:v>0.0156021986912527</c:v>
                </c:pt>
                <c:pt idx="20">
                  <c:v>0.0156021986912527</c:v>
                </c:pt>
                <c:pt idx="21">
                  <c:v>0.0156021986912527</c:v>
                </c:pt>
                <c:pt idx="22">
                  <c:v>0.0156021986912527</c:v>
                </c:pt>
                <c:pt idx="23">
                  <c:v>0.0156021986912527</c:v>
                </c:pt>
                <c:pt idx="24">
                  <c:v>0.0156021986912527</c:v>
                </c:pt>
                <c:pt idx="25">
                  <c:v>0.0156021986912527</c:v>
                </c:pt>
                <c:pt idx="26">
                  <c:v>0.0156021986912527</c:v>
                </c:pt>
                <c:pt idx="27">
                  <c:v>0.0156021986912527</c:v>
                </c:pt>
                <c:pt idx="28">
                  <c:v>0.0156021986912527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36256465"/>
        <c:axId val="327986733"/>
      </c:barChart>
      <c:catAx>
        <c:axId val="7362564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986733"/>
        <c:crosses val="autoZero"/>
        <c:auto val="1"/>
        <c:lblAlgn val="ctr"/>
        <c:lblOffset val="100"/>
        <c:noMultiLvlLbl val="0"/>
      </c:catAx>
      <c:valAx>
        <c:axId val="3279867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2564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概率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温度系数展示!$B$4:$AD$4</c:f>
              <c:strCache>
                <c:ptCount val="29"/>
                <c:pt idx="0">
                  <c:v>PAD</c:v>
                </c:pt>
                <c:pt idx="1">
                  <c:v>CLS</c:v>
                </c:pt>
                <c:pt idx="2">
                  <c:v>SEP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d</c:v>
                </c:pt>
                <c:pt idx="7">
                  <c:v>e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m</c:v>
                </c:pt>
                <c:pt idx="16">
                  <c:v>n</c:v>
                </c:pt>
                <c:pt idx="17">
                  <c:v>o</c:v>
                </c:pt>
                <c:pt idx="18">
                  <c:v>p</c:v>
                </c:pt>
                <c:pt idx="19">
                  <c:v>q</c:v>
                </c:pt>
                <c:pt idx="20">
                  <c:v>r</c:v>
                </c:pt>
                <c:pt idx="21">
                  <c:v>s</c:v>
                </c:pt>
                <c:pt idx="22">
                  <c:v>t</c:v>
                </c:pt>
                <c:pt idx="23">
                  <c:v>u</c:v>
                </c:pt>
                <c:pt idx="24">
                  <c:v>v</c:v>
                </c:pt>
                <c:pt idx="25">
                  <c:v>w</c:v>
                </c:pt>
                <c:pt idx="26">
                  <c:v>x</c:v>
                </c:pt>
                <c:pt idx="27">
                  <c:v>y</c:v>
                </c:pt>
                <c:pt idx="28">
                  <c:v>z</c:v>
                </c:pt>
              </c:strCache>
            </c:strRef>
          </c:cat>
          <c:val>
            <c:numRef>
              <c:f>温度系数展示!$B$5:$AD$5</c:f>
              <c:numCache>
                <c:formatCode>General</c:formatCode>
                <c:ptCount val="29"/>
                <c:pt idx="0">
                  <c:v>0.0156021986912527</c:v>
                </c:pt>
                <c:pt idx="1">
                  <c:v>0.0156021986912527</c:v>
                </c:pt>
                <c:pt idx="2">
                  <c:v>0.038375216441894</c:v>
                </c:pt>
                <c:pt idx="3">
                  <c:v>0.038375216441894</c:v>
                </c:pt>
                <c:pt idx="4">
                  <c:v>0.171985788099494</c:v>
                </c:pt>
                <c:pt idx="5">
                  <c:v>0.0854056148311921</c:v>
                </c:pt>
                <c:pt idx="6">
                  <c:v>0.0943878017518037</c:v>
                </c:pt>
                <c:pt idx="7">
                  <c:v>0.12741020552241</c:v>
                </c:pt>
                <c:pt idx="8">
                  <c:v>0.0141315776937367</c:v>
                </c:pt>
                <c:pt idx="9">
                  <c:v>0.0141315776937367</c:v>
                </c:pt>
                <c:pt idx="10">
                  <c:v>0.0141315776937367</c:v>
                </c:pt>
                <c:pt idx="11">
                  <c:v>0.0141315776937367</c:v>
                </c:pt>
                <c:pt idx="12">
                  <c:v>0.038375216441894</c:v>
                </c:pt>
                <c:pt idx="13">
                  <c:v>0.038375216441894</c:v>
                </c:pt>
                <c:pt idx="14">
                  <c:v>0.038375216441894</c:v>
                </c:pt>
                <c:pt idx="15">
                  <c:v>0.038375216441894</c:v>
                </c:pt>
                <c:pt idx="16">
                  <c:v>0.0156021986912527</c:v>
                </c:pt>
                <c:pt idx="17">
                  <c:v>0.0156021986912527</c:v>
                </c:pt>
                <c:pt idx="18">
                  <c:v>0.0156021986912527</c:v>
                </c:pt>
                <c:pt idx="19">
                  <c:v>0.0156021986912527</c:v>
                </c:pt>
                <c:pt idx="20">
                  <c:v>0.0156021986912527</c:v>
                </c:pt>
                <c:pt idx="21">
                  <c:v>0.0156021986912527</c:v>
                </c:pt>
                <c:pt idx="22">
                  <c:v>0.0156021986912527</c:v>
                </c:pt>
                <c:pt idx="23">
                  <c:v>0.0156021986912527</c:v>
                </c:pt>
                <c:pt idx="24">
                  <c:v>0.0156021986912527</c:v>
                </c:pt>
                <c:pt idx="25">
                  <c:v>0.0156021986912527</c:v>
                </c:pt>
                <c:pt idx="26">
                  <c:v>0.0156021986912527</c:v>
                </c:pt>
                <c:pt idx="27">
                  <c:v>0.0156021986912527</c:v>
                </c:pt>
                <c:pt idx="28">
                  <c:v>0.0156021986912527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36256465"/>
        <c:axId val="327986733"/>
      </c:barChart>
      <c:catAx>
        <c:axId val="7362564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986733"/>
        <c:crosses val="autoZero"/>
        <c:auto val="1"/>
        <c:lblAlgn val="ctr"/>
        <c:lblOffset val="100"/>
        <c:noMultiLvlLbl val="0"/>
      </c:catAx>
      <c:valAx>
        <c:axId val="32798673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2564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7ed9f6-dee9-4a57-beca-7eef296263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774700</xdr:colOff>
      <xdr:row>8</xdr:row>
      <xdr:rowOff>146050</xdr:rowOff>
    </xdr:from>
    <xdr:to>
      <xdr:col>11</xdr:col>
      <xdr:colOff>240665</xdr:colOff>
      <xdr:row>28</xdr:row>
      <xdr:rowOff>76200</xdr:rowOff>
    </xdr:to>
    <xdr:graphicFrame>
      <xdr:nvGraphicFramePr>
        <xdr:cNvPr id="2" name="图表 1"/>
        <xdr:cNvGraphicFramePr/>
      </xdr:nvGraphicFramePr>
      <xdr:xfrm>
        <a:off x="1670050" y="1593850"/>
        <a:ext cx="8419465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774700</xdr:colOff>
      <xdr:row>9</xdr:row>
      <xdr:rowOff>146050</xdr:rowOff>
    </xdr:from>
    <xdr:to>
      <xdr:col>11</xdr:col>
      <xdr:colOff>240665</xdr:colOff>
      <xdr:row>29</xdr:row>
      <xdr:rowOff>76200</xdr:rowOff>
    </xdr:to>
    <xdr:graphicFrame>
      <xdr:nvGraphicFramePr>
        <xdr:cNvPr id="2" name="图表 1"/>
        <xdr:cNvGraphicFramePr/>
      </xdr:nvGraphicFramePr>
      <xdr:xfrm>
        <a:off x="1670050" y="1784350"/>
        <a:ext cx="8419465" cy="3486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workbookViewId="0">
      <selection activeCell="G2" sqref="G2"/>
    </sheetView>
  </sheetViews>
  <sheetFormatPr defaultColWidth="8.72727272727273" defaultRowHeight="14" outlineLevelRow="3"/>
  <cols>
    <col min="1" max="30" width="12.8181818181818" style="2"/>
    <col min="31" max="16384" width="8.72727272727273" style="2"/>
  </cols>
  <sheetData>
    <row r="1" ht="15" customHeight="1" spans="2:30">
      <c r="B1" s="2">
        <v>0.1</v>
      </c>
      <c r="C1" s="2">
        <v>0.1</v>
      </c>
      <c r="D1" s="2">
        <v>1</v>
      </c>
      <c r="E1" s="2">
        <v>1</v>
      </c>
      <c r="F1" s="2">
        <v>2.5</v>
      </c>
      <c r="G1" s="2">
        <v>1.8</v>
      </c>
      <c r="H1" s="2">
        <v>1.9</v>
      </c>
      <c r="I1" s="2">
        <v>2.2</v>
      </c>
      <c r="J1" s="2">
        <v>0.001</v>
      </c>
      <c r="K1" s="2">
        <v>0.001</v>
      </c>
      <c r="L1" s="2">
        <v>0.001</v>
      </c>
      <c r="M1" s="2">
        <v>0.001</v>
      </c>
      <c r="N1" s="2">
        <v>1</v>
      </c>
      <c r="O1" s="2">
        <v>1</v>
      </c>
      <c r="P1" s="2">
        <v>1</v>
      </c>
      <c r="Q1" s="2">
        <v>1</v>
      </c>
      <c r="R1" s="2">
        <v>0.1</v>
      </c>
      <c r="S1" s="2">
        <v>0.1</v>
      </c>
      <c r="T1" s="2">
        <v>0.1</v>
      </c>
      <c r="U1" s="2">
        <v>0.1</v>
      </c>
      <c r="V1" s="2">
        <v>0.1</v>
      </c>
      <c r="W1" s="2">
        <v>0.1</v>
      </c>
      <c r="X1" s="2">
        <v>0.1</v>
      </c>
      <c r="Y1" s="2">
        <v>0.1</v>
      </c>
      <c r="Z1" s="2">
        <v>0.1</v>
      </c>
      <c r="AA1" s="2">
        <v>0.1</v>
      </c>
      <c r="AB1" s="2">
        <v>0.1</v>
      </c>
      <c r="AC1" s="2">
        <v>0.1</v>
      </c>
      <c r="AD1" s="2">
        <v>0.1</v>
      </c>
    </row>
    <row r="2" customHeight="1" spans="1:30">
      <c r="A2" s="2">
        <f>SUM(B2:AD2)</f>
        <v>70.8343061093856</v>
      </c>
      <c r="B2" s="2">
        <f>EXP(B1)</f>
        <v>1.10517091807565</v>
      </c>
      <c r="C2" s="2">
        <f>EXP(C1)</f>
        <v>1.10517091807565</v>
      </c>
      <c r="D2" s="2">
        <f t="shared" ref="D2:AI2" si="0">EXP(D1)</f>
        <v>2.71828182845904</v>
      </c>
      <c r="E2" s="2">
        <f t="shared" si="0"/>
        <v>2.71828182845904</v>
      </c>
      <c r="F2" s="2">
        <f t="shared" si="0"/>
        <v>12.1824939607035</v>
      </c>
      <c r="G2" s="2">
        <f t="shared" si="0"/>
        <v>6.04964746441295</v>
      </c>
      <c r="H2" s="2">
        <f t="shared" si="0"/>
        <v>6.68589444227927</v>
      </c>
      <c r="I2" s="2">
        <f t="shared" si="0"/>
        <v>9.02501349943412</v>
      </c>
      <c r="J2" s="2">
        <f t="shared" si="0"/>
        <v>1.00100050016671</v>
      </c>
      <c r="K2" s="2">
        <f t="shared" si="0"/>
        <v>1.00100050016671</v>
      </c>
      <c r="L2" s="2">
        <f t="shared" si="0"/>
        <v>1.00100050016671</v>
      </c>
      <c r="M2" s="2">
        <f t="shared" si="0"/>
        <v>1.00100050016671</v>
      </c>
      <c r="N2" s="2">
        <f t="shared" si="0"/>
        <v>2.71828182845904</v>
      </c>
      <c r="O2" s="2">
        <f t="shared" si="0"/>
        <v>2.71828182845904</v>
      </c>
      <c r="P2" s="2">
        <f t="shared" si="0"/>
        <v>2.71828182845904</v>
      </c>
      <c r="Q2" s="2">
        <f t="shared" si="0"/>
        <v>2.71828182845904</v>
      </c>
      <c r="R2" s="2">
        <f t="shared" si="0"/>
        <v>1.10517091807565</v>
      </c>
      <c r="S2" s="2">
        <f t="shared" si="0"/>
        <v>1.10517091807565</v>
      </c>
      <c r="T2" s="2">
        <f t="shared" si="0"/>
        <v>1.10517091807565</v>
      </c>
      <c r="U2" s="2">
        <f t="shared" si="0"/>
        <v>1.10517091807565</v>
      </c>
      <c r="V2" s="2">
        <f t="shared" si="0"/>
        <v>1.10517091807565</v>
      </c>
      <c r="W2" s="2">
        <f t="shared" si="0"/>
        <v>1.10517091807565</v>
      </c>
      <c r="X2" s="2">
        <f t="shared" si="0"/>
        <v>1.10517091807565</v>
      </c>
      <c r="Y2" s="2">
        <f t="shared" si="0"/>
        <v>1.10517091807565</v>
      </c>
      <c r="Z2" s="2">
        <f t="shared" si="0"/>
        <v>1.10517091807565</v>
      </c>
      <c r="AA2" s="2">
        <f t="shared" si="0"/>
        <v>1.10517091807565</v>
      </c>
      <c r="AB2" s="2">
        <f t="shared" si="0"/>
        <v>1.10517091807565</v>
      </c>
      <c r="AC2" s="2">
        <f t="shared" si="0"/>
        <v>1.10517091807565</v>
      </c>
      <c r="AD2" s="2">
        <f t="shared" si="0"/>
        <v>1.10517091807565</v>
      </c>
    </row>
    <row r="3" s="1" customFormat="1" customHeight="1" spans="2:30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</row>
    <row r="4" ht="15" customHeight="1" spans="2:30">
      <c r="B4" s="2">
        <f>B2/$A$2</f>
        <v>0.0156021986912527</v>
      </c>
      <c r="C4" s="2">
        <f t="shared" ref="C4:AH4" si="1">C2/$A$2</f>
        <v>0.0156021986912527</v>
      </c>
      <c r="D4" s="2">
        <f t="shared" si="1"/>
        <v>0.038375216441894</v>
      </c>
      <c r="E4" s="2">
        <f t="shared" si="1"/>
        <v>0.038375216441894</v>
      </c>
      <c r="F4" s="2">
        <f t="shared" si="1"/>
        <v>0.171985788099494</v>
      </c>
      <c r="G4" s="2">
        <f t="shared" si="1"/>
        <v>0.0854056148311921</v>
      </c>
      <c r="H4" s="2">
        <f t="shared" si="1"/>
        <v>0.0943878017518037</v>
      </c>
      <c r="I4" s="2">
        <f t="shared" si="1"/>
        <v>0.12741020552241</v>
      </c>
      <c r="J4" s="2">
        <f t="shared" si="1"/>
        <v>0.0141315776937367</v>
      </c>
      <c r="K4" s="2">
        <f t="shared" si="1"/>
        <v>0.0141315776937367</v>
      </c>
      <c r="L4" s="2">
        <f t="shared" si="1"/>
        <v>0.0141315776937367</v>
      </c>
      <c r="M4" s="2">
        <f t="shared" si="1"/>
        <v>0.0141315776937367</v>
      </c>
      <c r="N4" s="2">
        <f t="shared" si="1"/>
        <v>0.038375216441894</v>
      </c>
      <c r="O4" s="2">
        <f t="shared" si="1"/>
        <v>0.038375216441894</v>
      </c>
      <c r="P4" s="2">
        <f t="shared" si="1"/>
        <v>0.038375216441894</v>
      </c>
      <c r="Q4" s="2">
        <f t="shared" si="1"/>
        <v>0.038375216441894</v>
      </c>
      <c r="R4" s="2">
        <f t="shared" si="1"/>
        <v>0.0156021986912527</v>
      </c>
      <c r="S4" s="2">
        <f t="shared" si="1"/>
        <v>0.0156021986912527</v>
      </c>
      <c r="T4" s="2">
        <f t="shared" si="1"/>
        <v>0.0156021986912527</v>
      </c>
      <c r="U4" s="2">
        <f t="shared" si="1"/>
        <v>0.0156021986912527</v>
      </c>
      <c r="V4" s="2">
        <f t="shared" si="1"/>
        <v>0.0156021986912527</v>
      </c>
      <c r="W4" s="2">
        <f t="shared" si="1"/>
        <v>0.0156021986912527</v>
      </c>
      <c r="X4" s="2">
        <f t="shared" si="1"/>
        <v>0.0156021986912527</v>
      </c>
      <c r="Y4" s="2">
        <f t="shared" si="1"/>
        <v>0.0156021986912527</v>
      </c>
      <c r="Z4" s="2">
        <f t="shared" si="1"/>
        <v>0.0156021986912527</v>
      </c>
      <c r="AA4" s="2">
        <f t="shared" si="1"/>
        <v>0.0156021986912527</v>
      </c>
      <c r="AB4" s="2">
        <f t="shared" si="1"/>
        <v>0.0156021986912527</v>
      </c>
      <c r="AC4" s="2">
        <f t="shared" si="1"/>
        <v>0.0156021986912527</v>
      </c>
      <c r="AD4" s="2">
        <f t="shared" si="1"/>
        <v>0.0156021986912527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zoomScale="85" zoomScaleNormal="85" workbookViewId="0">
      <selection activeCell="A3" sqref="A3"/>
    </sheetView>
  </sheetViews>
  <sheetFormatPr defaultColWidth="8.72727272727273" defaultRowHeight="14" outlineLevelRow="4"/>
  <cols>
    <col min="1" max="30" width="12.8181818181818" style="2"/>
    <col min="31" max="16384" width="8.72727272727273" style="2"/>
  </cols>
  <sheetData>
    <row r="1" ht="15" customHeight="1" spans="2:30">
      <c r="B1" s="2">
        <v>0.1</v>
      </c>
      <c r="C1" s="2">
        <v>0.1</v>
      </c>
      <c r="D1" s="2">
        <v>1</v>
      </c>
      <c r="E1" s="2">
        <v>1</v>
      </c>
      <c r="F1" s="2">
        <v>2.5</v>
      </c>
      <c r="G1" s="2">
        <v>1.8</v>
      </c>
      <c r="H1" s="2">
        <v>1.9</v>
      </c>
      <c r="I1" s="2">
        <v>2.2</v>
      </c>
      <c r="J1" s="2">
        <v>0.001</v>
      </c>
      <c r="K1" s="2">
        <v>0.001</v>
      </c>
      <c r="L1" s="2">
        <v>0.001</v>
      </c>
      <c r="M1" s="2">
        <v>0.001</v>
      </c>
      <c r="N1" s="2">
        <v>1</v>
      </c>
      <c r="O1" s="2">
        <v>1</v>
      </c>
      <c r="P1" s="2">
        <v>1</v>
      </c>
      <c r="Q1" s="2">
        <v>1</v>
      </c>
      <c r="R1" s="2">
        <v>0.1</v>
      </c>
      <c r="S1" s="2">
        <v>0.1</v>
      </c>
      <c r="T1" s="2">
        <v>0.1</v>
      </c>
      <c r="U1" s="2">
        <v>0.1</v>
      </c>
      <c r="V1" s="2">
        <v>0.1</v>
      </c>
      <c r="W1" s="2">
        <v>0.1</v>
      </c>
      <c r="X1" s="2">
        <v>0.1</v>
      </c>
      <c r="Y1" s="2">
        <v>0.1</v>
      </c>
      <c r="Z1" s="2">
        <v>0.1</v>
      </c>
      <c r="AA1" s="2">
        <v>0.1</v>
      </c>
      <c r="AB1" s="2">
        <v>0.1</v>
      </c>
      <c r="AC1" s="2">
        <v>0.1</v>
      </c>
      <c r="AD1" s="2">
        <v>0.1</v>
      </c>
    </row>
    <row r="2" ht="15" customHeight="1" spans="1:30">
      <c r="A2" s="2">
        <v>1</v>
      </c>
      <c r="B2" s="2">
        <f>B1/$A$2</f>
        <v>0.1</v>
      </c>
      <c r="C2" s="2">
        <f>C1/$A$2</f>
        <v>0.1</v>
      </c>
      <c r="D2" s="2">
        <f t="shared" ref="D2:U2" si="0">D1/$A$2</f>
        <v>1</v>
      </c>
      <c r="E2" s="2">
        <f t="shared" si="0"/>
        <v>1</v>
      </c>
      <c r="F2" s="2">
        <f t="shared" si="0"/>
        <v>2.5</v>
      </c>
      <c r="G2" s="2">
        <f t="shared" si="0"/>
        <v>1.8</v>
      </c>
      <c r="H2" s="2">
        <f t="shared" si="0"/>
        <v>1.9</v>
      </c>
      <c r="I2" s="2">
        <f t="shared" si="0"/>
        <v>2.2</v>
      </c>
      <c r="J2" s="2">
        <f t="shared" si="0"/>
        <v>0.001</v>
      </c>
      <c r="K2" s="2">
        <f t="shared" si="0"/>
        <v>0.001</v>
      </c>
      <c r="L2" s="2">
        <f t="shared" si="0"/>
        <v>0.001</v>
      </c>
      <c r="M2" s="2">
        <f t="shared" si="0"/>
        <v>0.001</v>
      </c>
      <c r="N2" s="2">
        <f t="shared" si="0"/>
        <v>1</v>
      </c>
      <c r="O2" s="2">
        <f t="shared" si="0"/>
        <v>1</v>
      </c>
      <c r="P2" s="2">
        <f t="shared" si="0"/>
        <v>1</v>
      </c>
      <c r="Q2" s="2">
        <f t="shared" si="0"/>
        <v>1</v>
      </c>
      <c r="R2" s="2">
        <f t="shared" si="0"/>
        <v>0.1</v>
      </c>
      <c r="S2" s="2">
        <f t="shared" si="0"/>
        <v>0.1</v>
      </c>
      <c r="T2" s="2">
        <f t="shared" si="0"/>
        <v>0.1</v>
      </c>
      <c r="U2" s="2">
        <f t="shared" si="0"/>
        <v>0.1</v>
      </c>
      <c r="V2" s="2">
        <f t="shared" ref="V2:AD2" si="1">V1/$A$2</f>
        <v>0.1</v>
      </c>
      <c r="W2" s="2">
        <f t="shared" si="1"/>
        <v>0.1</v>
      </c>
      <c r="X2" s="2">
        <f t="shared" si="1"/>
        <v>0.1</v>
      </c>
      <c r="Y2" s="2">
        <f t="shared" si="1"/>
        <v>0.1</v>
      </c>
      <c r="Z2" s="2">
        <f t="shared" si="1"/>
        <v>0.1</v>
      </c>
      <c r="AA2" s="2">
        <f t="shared" si="1"/>
        <v>0.1</v>
      </c>
      <c r="AB2" s="2">
        <f t="shared" si="1"/>
        <v>0.1</v>
      </c>
      <c r="AC2" s="2">
        <f t="shared" si="1"/>
        <v>0.1</v>
      </c>
      <c r="AD2" s="2">
        <f t="shared" si="1"/>
        <v>0.1</v>
      </c>
    </row>
    <row r="3" customHeight="1" spans="1:30">
      <c r="A3" s="2">
        <f>SUM(B3:AD3)</f>
        <v>70.8343061093856</v>
      </c>
      <c r="B3" s="2">
        <f>EXP(B2)</f>
        <v>1.10517091807565</v>
      </c>
      <c r="C3" s="2">
        <f t="shared" ref="C3:AD3" si="2">EXP(C2)</f>
        <v>1.10517091807565</v>
      </c>
      <c r="D3" s="2">
        <f t="shared" si="2"/>
        <v>2.71828182845904</v>
      </c>
      <c r="E3" s="2">
        <f t="shared" si="2"/>
        <v>2.71828182845904</v>
      </c>
      <c r="F3" s="2">
        <f t="shared" si="2"/>
        <v>12.1824939607035</v>
      </c>
      <c r="G3" s="2">
        <f t="shared" si="2"/>
        <v>6.04964746441295</v>
      </c>
      <c r="H3" s="2">
        <f t="shared" si="2"/>
        <v>6.68589444227927</v>
      </c>
      <c r="I3" s="2">
        <f t="shared" si="2"/>
        <v>9.02501349943412</v>
      </c>
      <c r="J3" s="2">
        <f t="shared" si="2"/>
        <v>1.00100050016671</v>
      </c>
      <c r="K3" s="2">
        <f t="shared" si="2"/>
        <v>1.00100050016671</v>
      </c>
      <c r="L3" s="2">
        <f t="shared" si="2"/>
        <v>1.00100050016671</v>
      </c>
      <c r="M3" s="2">
        <f t="shared" si="2"/>
        <v>1.00100050016671</v>
      </c>
      <c r="N3" s="2">
        <f t="shared" si="2"/>
        <v>2.71828182845904</v>
      </c>
      <c r="O3" s="2">
        <f t="shared" si="2"/>
        <v>2.71828182845904</v>
      </c>
      <c r="P3" s="2">
        <f t="shared" si="2"/>
        <v>2.71828182845904</v>
      </c>
      <c r="Q3" s="2">
        <f t="shared" si="2"/>
        <v>2.71828182845904</v>
      </c>
      <c r="R3" s="2">
        <f t="shared" si="2"/>
        <v>1.10517091807565</v>
      </c>
      <c r="S3" s="2">
        <f t="shared" si="2"/>
        <v>1.10517091807565</v>
      </c>
      <c r="T3" s="2">
        <f t="shared" si="2"/>
        <v>1.10517091807565</v>
      </c>
      <c r="U3" s="2">
        <f t="shared" si="2"/>
        <v>1.10517091807565</v>
      </c>
      <c r="V3" s="2">
        <f t="shared" si="2"/>
        <v>1.10517091807565</v>
      </c>
      <c r="W3" s="2">
        <f t="shared" si="2"/>
        <v>1.10517091807565</v>
      </c>
      <c r="X3" s="2">
        <f t="shared" si="2"/>
        <v>1.10517091807565</v>
      </c>
      <c r="Y3" s="2">
        <f t="shared" si="2"/>
        <v>1.10517091807565</v>
      </c>
      <c r="Z3" s="2">
        <f t="shared" si="2"/>
        <v>1.10517091807565</v>
      </c>
      <c r="AA3" s="2">
        <f t="shared" si="2"/>
        <v>1.10517091807565</v>
      </c>
      <c r="AB3" s="2">
        <f t="shared" si="2"/>
        <v>1.10517091807565</v>
      </c>
      <c r="AC3" s="2">
        <f t="shared" si="2"/>
        <v>1.10517091807565</v>
      </c>
      <c r="AD3" s="2">
        <f t="shared" si="2"/>
        <v>1.10517091807565</v>
      </c>
    </row>
    <row r="4" s="1" customFormat="1" customHeight="1" spans="2:30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</row>
    <row r="5" ht="15" customHeight="1" spans="2:30">
      <c r="B5" s="2">
        <f>B3/$A$3</f>
        <v>0.0156021986912527</v>
      </c>
      <c r="C5" s="2">
        <f>C3/$A$3</f>
        <v>0.0156021986912527</v>
      </c>
      <c r="D5" s="2">
        <f>D3/$A$3</f>
        <v>0.038375216441894</v>
      </c>
      <c r="E5" s="2">
        <f>E3/$A$3</f>
        <v>0.038375216441894</v>
      </c>
      <c r="F5" s="2">
        <f>F3/$A$3</f>
        <v>0.171985788099494</v>
      </c>
      <c r="G5" s="2">
        <f>G3/$A$3</f>
        <v>0.0854056148311921</v>
      </c>
      <c r="H5" s="2">
        <f>H3/$A$3</f>
        <v>0.0943878017518037</v>
      </c>
      <c r="I5" s="2">
        <f>I3/$A$3</f>
        <v>0.12741020552241</v>
      </c>
      <c r="J5" s="2">
        <f>J3/$A$3</f>
        <v>0.0141315776937367</v>
      </c>
      <c r="K5" s="2">
        <f>K3/$A$3</f>
        <v>0.0141315776937367</v>
      </c>
      <c r="L5" s="2">
        <f>L3/$A$3</f>
        <v>0.0141315776937367</v>
      </c>
      <c r="M5" s="2">
        <f>M3/$A$3</f>
        <v>0.0141315776937367</v>
      </c>
      <c r="N5" s="2">
        <f>N3/$A$3</f>
        <v>0.038375216441894</v>
      </c>
      <c r="O5" s="2">
        <f>O3/$A$3</f>
        <v>0.038375216441894</v>
      </c>
      <c r="P5" s="2">
        <f>P3/$A$3</f>
        <v>0.038375216441894</v>
      </c>
      <c r="Q5" s="2">
        <f>Q3/$A$3</f>
        <v>0.038375216441894</v>
      </c>
      <c r="R5" s="2">
        <f>R3/$A$3</f>
        <v>0.0156021986912527</v>
      </c>
      <c r="S5" s="2">
        <f>S3/$A$3</f>
        <v>0.0156021986912527</v>
      </c>
      <c r="T5" s="2">
        <f>T3/$A$3</f>
        <v>0.0156021986912527</v>
      </c>
      <c r="U5" s="2">
        <f>U3/$A$3</f>
        <v>0.0156021986912527</v>
      </c>
      <c r="V5" s="2">
        <f>V3/$A$3</f>
        <v>0.0156021986912527</v>
      </c>
      <c r="W5" s="2">
        <f>W3/$A$3</f>
        <v>0.0156021986912527</v>
      </c>
      <c r="X5" s="2">
        <f>X3/$A$3</f>
        <v>0.0156021986912527</v>
      </c>
      <c r="Y5" s="2">
        <f>Y3/$A$3</f>
        <v>0.0156021986912527</v>
      </c>
      <c r="Z5" s="2">
        <f>Z3/$A$3</f>
        <v>0.0156021986912527</v>
      </c>
      <c r="AA5" s="2">
        <f>AA3/$A$3</f>
        <v>0.0156021986912527</v>
      </c>
      <c r="AB5" s="2">
        <f>AB3/$A$3</f>
        <v>0.0156021986912527</v>
      </c>
      <c r="AC5" s="2">
        <f>AC3/$A$3</f>
        <v>0.0156021986912527</v>
      </c>
      <c r="AD5" s="2">
        <f>AD3/$A$3</f>
        <v>0.0156021986912527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正常的概率计算</vt:lpstr>
      <vt:lpstr>温度系数展示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19410</dc:creator>
  <cp:lastModifiedBy>gerry</cp:lastModifiedBy>
  <dcterms:created xsi:type="dcterms:W3CDTF">2025-03-16T01:52:51Z</dcterms:created>
  <dcterms:modified xsi:type="dcterms:W3CDTF">2025-03-16T10:04:40Z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FDCF548D9BF24CA3804DCC21DC7F096B_11</vt:lpwstr>
  </property>
  <property fmtid="{D5CDD505-2E9C-101B-9397-08002B2CF9AE}" pid="3" name="KSOProductBuildVer">
    <vt:lpwstr>2052-12.1.0.20305</vt:lpwstr>
  </property>
</Properties>
</file>